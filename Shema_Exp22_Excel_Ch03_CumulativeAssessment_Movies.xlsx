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shemanorbert/Downloads/SpreedSheet and applications/"/>
    </mc:Choice>
  </mc:AlternateContent>
  <xr:revisionPtr revIDLastSave="0" documentId="13_ncr:1_{C84C1FBF-C4C9-F74A-82D1-391DFBE88637}" xr6:coauthVersionLast="47" xr6:coauthVersionMax="47" xr10:uidLastSave="{00000000-0000-0000-0000-000000000000}"/>
  <bookViews>
    <workbookView xWindow="0" yWindow="0" windowWidth="44800" windowHeight="25200" activeTab="2" xr2:uid="{00000000-000D-0000-FFFF-FFFF00000000}"/>
  </bookViews>
  <sheets>
    <sheet name="April Pie Chart" sheetId="2" r:id="rId1"/>
    <sheet name="Weekly Downloads" sheetId="3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11" i="1"/>
  <c r="D11" i="1"/>
  <c r="C11" i="1"/>
  <c r="B11" i="1"/>
  <c r="F10" i="1"/>
  <c r="F8" i="1"/>
  <c r="F7" i="1"/>
  <c r="F6" i="1"/>
  <c r="F5" i="1"/>
  <c r="F11" i="1" l="1"/>
  <c r="G11" i="1" s="1"/>
  <c r="G9" i="1" l="1"/>
  <c r="G6" i="1"/>
  <c r="G5" i="1"/>
  <c r="G10" i="1"/>
  <c r="G8" i="1"/>
  <c r="G7" i="1"/>
</calcChain>
</file>

<file path=xl/sharedStrings.xml><?xml version="1.0" encoding="utf-8"?>
<sst xmlns="http://schemas.openxmlformats.org/spreadsheetml/2006/main" count="17" uniqueCount="17">
  <si>
    <t>Premiere Movie Source</t>
  </si>
  <si>
    <t>Genre</t>
  </si>
  <si>
    <t>Week 1</t>
  </si>
  <si>
    <t>Week 2</t>
  </si>
  <si>
    <t>Week 3</t>
  </si>
  <si>
    <t>Week 4</t>
  </si>
  <si>
    <t>Category Totals</t>
  </si>
  <si>
    <t>Summary</t>
  </si>
  <si>
    <t>Action &amp; Adventure</t>
  </si>
  <si>
    <t>Comedy</t>
  </si>
  <si>
    <t>Drama</t>
  </si>
  <si>
    <t>Horror</t>
  </si>
  <si>
    <t>Sci-Fi &amp; Fantasy</t>
  </si>
  <si>
    <t>Weekly Totals</t>
  </si>
  <si>
    <t>Other Genres</t>
  </si>
  <si>
    <t>% of Month</t>
  </si>
  <si>
    <t>April 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</si>
</sst>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164" fontId="0" fillId="0" borderId="0" xfId="2" applyNumberFormat="1" applyFont="1"/>
    <xf numFmtId="164" fontId="5" fillId="0" borderId="0" xfId="2" applyNumberFormat="1" applyFont="1"/>
    <xf numFmtId="0" fontId="2" fillId="0" borderId="0" xfId="1" applyFont="1" applyAlignment="1">
      <alignment horizontal="left" indent="1"/>
    </xf>
    <xf numFmtId="164" fontId="6" fillId="0" borderId="0" xfId="2" applyNumberFormat="1" applyFont="1"/>
    <xf numFmtId="165" fontId="0" fillId="0" borderId="0" xfId="1" applyNumberFormat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8">
    <cellStyle name="/nJxkG/+hYJYxsjbmK3Tcf663vSpZuftTzakty7TPc28HdVaR/4trWUdFgyrNr8uuRnMBvROd209jkFEmCbKOtnWbiOy1xUf-~yCJvQSgdcyQgPiR4aF7McA==" xfId="24" xr:uid="{00000000-0005-0000-0000-000008000000}"/>
    <cellStyle name="5i155+eG5n2svMBkRjnqR/BX2LCWMrWY9KZdva59c5tQFYYPi2lR3umaNSlZyrGg3vMlrjwhJNXsxNTyL9fo7pirSNq2y1v/-~WjYNUvXlnn7Z12NAvTVJaA==" xfId="15" xr:uid="{00000000-0005-0000-0000-000003000000}"/>
    <cellStyle name="6zm53FImDEke9i5wFlvrQcU0MjUbUpJwV5aL6BP6SQ4qclYDt3InbK6VC3T2lVePdAFypmZfOw1Ygd6mIu7m2bYcCOMc2lnc-~nfC0ZSIuMoAf2HbSpaNiJg==" xfId="16" xr:uid="{00000000-0005-0000-0000-00000E000000}"/>
    <cellStyle name="7xqzO5HVnzlmTyO4RRl4Qh9i/bGnojqVXAJqGylwnF9g0vCzwTWm3kIDcjhxaebOiFFwZIUahErASFO0yT7LsbqPYkgZOQs+-~52IY4oiQACl8OIPsNWW23w==" xfId="21" xr:uid="{00000000-0005-0000-0000-000008000000}"/>
    <cellStyle name="8oLwZQdSwoTsU0z0JjLEIs2QsZttP2uqdFi4zEDThvZfb9d6/LVGrAjjJiPffFIL7FgriphNG6+e9AcGBDlhcA8KgY5yEcDE-~w7m8m8A2QwUMilMZHljgCQ==" xfId="8" xr:uid="{00000000-0005-0000-0000-000003000000}"/>
    <cellStyle name="90yFDXv/4oERyQDjQtpGBQFQE8yPon+XTtbfOztqL+bgAMIxUxVwrcf9tt61JM+wrLHQANkspNyBlKkyURdf0NXodooNWFJU-~tZfi4jnhhPaAD3+vdhARng==" xfId="5" xr:uid="{00000000-0005-0000-0000-000003000000}"/>
    <cellStyle name="AeW0kfhFiY6ep0zMcnxTVXvDjsffAzwRS6kBVwf0jzOm1m/d6PorMyPChBC9uGpdYswuRWhDoeWwOQ7elW3NIK3jGDFhezt9-~Zts8Z7j4TRHuD6mVf2m39g==" xfId="7" xr:uid="{00000000-0005-0000-0000-000003000000}"/>
    <cellStyle name="cQAcuEfq7w5y0GeyPC2BbQDky/lFg0KnygCzO82zRrrWRxU0U/I14P1jqmUtpxrVXcvGVm+lRy+d1v1RcLr1DqTczFzC+7WR-~y6AR58dxZ+9zPbA/KPok4g==" xfId="14" xr:uid="{00000000-0005-0000-0000-000003000000}"/>
    <cellStyle name="Custom Style 1" xfId="1" xr:uid="{00000000-0005-0000-0000-000003000000}"/>
    <cellStyle name="Custom Style 2" xfId="3" xr:uid="{00000000-0005-0000-0000-00000E000000}"/>
    <cellStyle name="Custom Style 3" xfId="2" xr:uid="{00000000-0005-0000-0000-000008000000}"/>
    <cellStyle name="cyDsupWCQEmhKnHu8Yj8kDrxQoEY1SqrVnWcZ7QJToLBoQZqdG2PSdB9OQ3+MzRKRC6hQP05RaqE/wLyazL5HM1p7emJZdRw-~QwbYHNsGCJOsS9eUfIT9tQ==" xfId="10" xr:uid="{00000000-0005-0000-0000-000008000000}"/>
    <cellStyle name="dBzt4rx4BTcVTwzvmMlzZkazSDOEsp7J82xnaolKJWMr6T812QPYKYY6rlunUv+6ZYvfvwNqcLT3FM+9Gy4cnh0Ng+0wNiRN-~66v4ZjYOI3YpPQKS9E4ZtA==" xfId="13" xr:uid="{00000000-0005-0000-0000-000008000000}"/>
    <cellStyle name="dUSQ2z11DhCAt5gvTcL8Mv6/aNvWN4uPHLvAkjpFCBbePojQ+woa5u7uThjyhUKjcD9xWKIIiX5iDFC/2hyQ+k/YA8HbXUu1-~0INn3U6/zVAuatnzWykIcw==" xfId="25" xr:uid="{00000000-0005-0000-0000-000003000000}"/>
    <cellStyle name="Hqfs5WRqlsKHHG3WAnBBeKAT4AcWw1dlXWxkZdrxZbp9S+EZbC01yoUkqqKW5GnpZ9Z1+HwnPETSAWr4dNT7kG/EsJIiDspa-~+up/CHWpma4Zistsjsz4QA==" xfId="6" xr:uid="{00000000-0005-0000-0000-000003000000}"/>
    <cellStyle name="IRXm2EzvQAiRiwm6sk9NnaYH50adpIO4PoRqoJDYia0Ygz0KCiUU6n9dx8w2457NxMuR3/11a/m2iihv1SQSXtLvCrUlAYSb-~UIILuCIcuYpieVSgxJNmdw==" xfId="17" xr:uid="{00000000-0005-0000-0000-000003000000}"/>
    <cellStyle name="nJMto7zbVEXiJZ7P3z8PuR/xvvn/CM10yE5Uzh0ZE2HgbDA8KdbULtJqatBMY+KR1AiYhvoTchPtWws7eK1c4GdxiMgpBGH9-~ypA/BwHn8iRLtLkLuJlQvg==" xfId="20" xr:uid="{00000000-0005-0000-0000-000003000000}"/>
    <cellStyle name="Nk9Wp7znsM6T1Fg3SLS+lZUNBbd5JtOnzMEJvOoAxIYTiITNV5rDwsGVMvpuUR0JF2oQpKY9BRO/3c6N8KZjaBYgBMSCf7Kg-~tX8gWy3nUaVLmCGf13kQqw==" xfId="19" xr:uid="{00000000-0005-0000-0000-000003000000}"/>
    <cellStyle name="Normal" xfId="0" builtinId="0"/>
    <cellStyle name="oEdwV3m3kgQIeaYTWMxbGpBY4b8VbF8azWjiw3YjUoD3UwN8zPqrZsyd+JDAMcT+4PxltWNt6DlwOkkOMxsqg55EV0fAZUzE-~zOIEQe51plPLG7W+o63Hzw==" xfId="22" xr:uid="{00000000-0005-0000-0000-000008000000}"/>
    <cellStyle name="owM5imGTkn50Eix25ry+F2u194uhM9y9C/yeLHXkLaMvx3Z3QlwrM80QooxwPkL4AyluoIIlckkiGF6aREMLXZlVl0TDh6as-~ZbQiQD2rOrZsIB0Z0Ie1GQ==" xfId="12" xr:uid="{00000000-0005-0000-0000-000003000000}"/>
    <cellStyle name="QC2IByIeMouzZeYfTg47CSrnioemng/D3za3X5DDGtcjhGZdhYOdny4ZM4W63bFAMQYuCVfBHKtC04PqS/He8owFFOIe4IyY-~yJKoRLf96qOxsqxoZQ2hpw==" xfId="23" xr:uid="{00000000-0005-0000-0000-000003000000}"/>
    <cellStyle name="qRV2yI5HiBbf8VnPqjWvl8kQ585NduqdX7Cz73DS5xlD9vOPL8WTUKrX9mtc4+iztfllcl/6VZ0G5i3TtH5MWNPvnvSagW3J-~hdr4w5bYGOYYEj0EXPxmAw==" xfId="4" xr:uid="{00000000-0005-0000-0000-000004000000}"/>
    <cellStyle name="RzkJHFBpTRLyKPWVmIrJWFBU8opeA9Aug49a+FgBMk7Jus/qUV323bI/IFi5mTj6eSWw1Pcr93f/1dHXl86u0jvvf1Ug5pop-~ePGTAoAm1MMSDuz98pNX2A==" xfId="27" xr:uid="{00000000-0005-0000-0000-00000E000000}"/>
    <cellStyle name="uFr1mBHqJT0HDZAlPWyuiREiLVPDSiJrT+XAUc63qT9pypI11GKYYe6A20Vr15HTZ3/oCfHzPfjXqkC6+Wy+X/hS7eRwTFVr-~Ahaab9Tw2sgx5HAfbvyLCw==" xfId="26" xr:uid="{00000000-0005-0000-0000-000003000000}"/>
    <cellStyle name="Xh9E22Kc1gacOQkN2DR5U2H3EAzi57VqHTJgk0FFiP8CI47IgX/Iy7FfKHbIzskpXjy6tXl8b8etu4BKdjOas5qld/tzm1li-~gDUVZR0V8Vkyf6DrvYL/Yw==" xfId="18" xr:uid="{00000000-0005-0000-0000-000003000000}"/>
    <cellStyle name="XL2DCgseYLXsdCOCZGoqaxMbmkTuvBq654ihcQzU5Z68htXlB/jBA0BnJoptNPxpYl/h27/W0AYis/GUQx1aGpjncwHXvuNE-~rSF7xDOCEtmQVTC3lGevjg==" xfId="11" xr:uid="{00000000-0005-0000-0000-000008000000}"/>
    <cellStyle name="z4bvGgC9T2fgbSbi5/OV4MBXYGI9SfhSvQeY6rFYHD2dAGVZVbEkP9HPFHTTO84dMbq+1GOxDhS5xilQOMzXOJ1PAUALFdY6-~C0m8tB6mA+tc47R4RV2jkA==" xfId="9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tx1"/>
                </a:solidFill>
                <a:effectLst/>
              </a:rPr>
              <a:t>April 2024 Downloads by Genre 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29-3546-AE69-C5F619268F69}"/>
              </c:ext>
            </c:extLst>
          </c:dPt>
          <c:dPt>
            <c:idx val="1"/>
            <c:bubble3D val="0"/>
            <c:explosion val="7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29-3546-AE69-C5F619268F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29-3546-AE69-C5F619268F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29-3546-AE69-C5F619268F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29-3546-AE69-C5F619268F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29-3546-AE69-C5F619268F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Data!$F$5:$F$10</c:f>
              <c:numCache>
                <c:formatCode>_(* #,##0_);_(* \(#,##0\);_(* "-"??_);_(@_)</c:formatCode>
                <c:ptCount val="6"/>
                <c:pt idx="0">
                  <c:v>8755</c:v>
                </c:pt>
                <c:pt idx="1">
                  <c:v>7595</c:v>
                </c:pt>
                <c:pt idx="2">
                  <c:v>5927</c:v>
                </c:pt>
                <c:pt idx="3">
                  <c:v>4189</c:v>
                </c:pt>
                <c:pt idx="4">
                  <c:v>7100</c:v>
                </c:pt>
                <c:pt idx="5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29-3546-AE69-C5F619268F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April 2024 Weekly Downloads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Week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Data!$B$5:$B$10</c:f>
              <c:numCache>
                <c:formatCode>_(* #,##0_);_(* \(#,##0\);_(* "-"??_);_(@_)</c:formatCode>
                <c:ptCount val="6"/>
                <c:pt idx="0">
                  <c:v>2105</c:v>
                </c:pt>
                <c:pt idx="1">
                  <c:v>1800</c:v>
                </c:pt>
                <c:pt idx="2">
                  <c:v>1645</c:v>
                </c:pt>
                <c:pt idx="3">
                  <c:v>1206</c:v>
                </c:pt>
                <c:pt idx="4">
                  <c:v>1795</c:v>
                </c:pt>
                <c:pt idx="5">
                  <c:v>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C-3949-8DA0-61DA1EA704E9}"/>
            </c:ext>
          </c:extLst>
        </c:ser>
        <c:ser>
          <c:idx val="1"/>
          <c:order val="1"/>
          <c:tx>
            <c:strRef>
              <c:f>Data!$C$4</c:f>
              <c:strCache>
                <c:ptCount val="1"/>
                <c:pt idx="0">
                  <c:v>Week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Data!$C$5:$C$10</c:f>
              <c:numCache>
                <c:formatCode>_(* #,##0_);_(* \(#,##0\);_(* "-"??_);_(@_)</c:formatCode>
                <c:ptCount val="6"/>
                <c:pt idx="0">
                  <c:v>1985</c:v>
                </c:pt>
                <c:pt idx="1">
                  <c:v>1805</c:v>
                </c:pt>
                <c:pt idx="2">
                  <c:v>1503</c:v>
                </c:pt>
                <c:pt idx="3">
                  <c:v>1121</c:v>
                </c:pt>
                <c:pt idx="4">
                  <c:v>1845</c:v>
                </c:pt>
                <c:pt idx="5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C-3949-8DA0-61DA1EA704E9}"/>
            </c:ext>
          </c:extLst>
        </c:ser>
        <c:ser>
          <c:idx val="2"/>
          <c:order val="2"/>
          <c:tx>
            <c:strRef>
              <c:f>Data!$D$4</c:f>
              <c:strCache>
                <c:ptCount val="1"/>
                <c:pt idx="0">
                  <c:v>Week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Data!$D$5:$D$10</c:f>
              <c:numCache>
                <c:formatCode>_(* #,##0_);_(* \(#,##0\);_(* "-"??_);_(@_)</c:formatCode>
                <c:ptCount val="6"/>
                <c:pt idx="0">
                  <c:v>2241</c:v>
                </c:pt>
                <c:pt idx="1">
                  <c:v>2045</c:v>
                </c:pt>
                <c:pt idx="2">
                  <c:v>1475</c:v>
                </c:pt>
                <c:pt idx="3">
                  <c:v>945</c:v>
                </c:pt>
                <c:pt idx="4">
                  <c:v>1765</c:v>
                </c:pt>
                <c:pt idx="5">
                  <c:v>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C-3949-8DA0-61DA1EA704E9}"/>
            </c:ext>
          </c:extLst>
        </c:ser>
        <c:ser>
          <c:idx val="3"/>
          <c:order val="3"/>
          <c:tx>
            <c:strRef>
              <c:f>Data!$E$4</c:f>
              <c:strCache>
                <c:ptCount val="1"/>
                <c:pt idx="0">
                  <c:v>Week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Data!$E$5:$E$10</c:f>
              <c:numCache>
                <c:formatCode>_(* #,##0_);_(* \(#,##0\);_(* "-"??_);_(@_)</c:formatCode>
                <c:ptCount val="6"/>
                <c:pt idx="0">
                  <c:v>2424</c:v>
                </c:pt>
                <c:pt idx="1">
                  <c:v>1945</c:v>
                </c:pt>
                <c:pt idx="2">
                  <c:v>1304</c:v>
                </c:pt>
                <c:pt idx="3">
                  <c:v>917</c:v>
                </c:pt>
                <c:pt idx="4">
                  <c:v>1695</c:v>
                </c:pt>
                <c:pt idx="5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C-3949-8DA0-61DA1EA7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4482208"/>
        <c:axId val="774483920"/>
      </c:barChart>
      <c:catAx>
        <c:axId val="7744822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83920"/>
        <c:crosses val="autoZero"/>
        <c:auto val="1"/>
        <c:lblAlgn val="ctr"/>
        <c:lblOffset val="100"/>
        <c:noMultiLvlLbl val="0"/>
      </c:catAx>
      <c:valAx>
        <c:axId val="774483920"/>
        <c:scaling>
          <c:orientation val="maxMin"/>
          <c:max val="9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8220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 April 2024 Downloads.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Data!$F$4</c:f>
              <c:strCache>
                <c:ptCount val="1"/>
                <c:pt idx="0">
                  <c:v>Category Totals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Data!$F$5:$F$10</c:f>
              <c:numCache>
                <c:formatCode>_(* #,##0_);_(* \(#,##0\);_(* "-"??_);_(@_)</c:formatCode>
                <c:ptCount val="6"/>
                <c:pt idx="0">
                  <c:v>8755</c:v>
                </c:pt>
                <c:pt idx="1">
                  <c:v>7595</c:v>
                </c:pt>
                <c:pt idx="2">
                  <c:v>5927</c:v>
                </c:pt>
                <c:pt idx="3">
                  <c:v>4189</c:v>
                </c:pt>
                <c:pt idx="4">
                  <c:v>7100</c:v>
                </c:pt>
                <c:pt idx="5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5-CB47-B911-59B4F92C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210160"/>
        <c:axId val="773103824"/>
      </c:barChart>
      <c:lineChart>
        <c:grouping val="standard"/>
        <c:varyColors val="0"/>
        <c:ser>
          <c:idx val="1"/>
          <c:order val="1"/>
          <c:tx>
            <c:strRef>
              <c:f>Data!$G$4</c:f>
              <c:strCache>
                <c:ptCount val="1"/>
                <c:pt idx="0">
                  <c:v>% of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Data!$A$5:$A$10</c:f>
              <c:strCache>
                <c:ptCount val="6"/>
                <c:pt idx="0">
                  <c:v>Action &amp; Adventure</c:v>
                </c:pt>
                <c:pt idx="1">
                  <c:v>Comedy</c:v>
                </c:pt>
                <c:pt idx="2">
                  <c:v>Drama</c:v>
                </c:pt>
                <c:pt idx="3">
                  <c:v>Horror</c:v>
                </c:pt>
                <c:pt idx="4">
                  <c:v>Sci-Fi &amp; Fantasy</c:v>
                </c:pt>
                <c:pt idx="5">
                  <c:v>Other Genres</c:v>
                </c:pt>
              </c:strCache>
            </c:strRef>
          </c:cat>
          <c:val>
            <c:numRef>
              <c:f>Data!$G$5:$G$10</c:f>
              <c:numCache>
                <c:formatCode>0.0%</c:formatCode>
                <c:ptCount val="6"/>
                <c:pt idx="0">
                  <c:v>0.2337846137413549</c:v>
                </c:pt>
                <c:pt idx="1">
                  <c:v>0.20280915378247749</c:v>
                </c:pt>
                <c:pt idx="2">
                  <c:v>0.15826857860022964</c:v>
                </c:pt>
                <c:pt idx="3">
                  <c:v>0.11185879462735987</c:v>
                </c:pt>
                <c:pt idx="4">
                  <c:v>0.18959117733450825</c:v>
                </c:pt>
                <c:pt idx="5">
                  <c:v>0.1036876819140698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5-CB47-B911-59B4F92C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489280"/>
        <c:axId val="723694944"/>
      </c:lineChart>
      <c:catAx>
        <c:axId val="7732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03824"/>
        <c:crosses val="autoZero"/>
        <c:auto val="1"/>
        <c:lblAlgn val="ctr"/>
        <c:lblOffset val="100"/>
        <c:noMultiLvlLbl val="0"/>
      </c:catAx>
      <c:valAx>
        <c:axId val="77310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Number of Downloads.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210160"/>
        <c:crosses val="autoZero"/>
        <c:crossBetween val="between"/>
      </c:valAx>
      <c:valAx>
        <c:axId val="7236949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Percentage of Monthly Downloads.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89280"/>
        <c:crosses val="max"/>
        <c:crossBetween val="between"/>
      </c:valAx>
      <c:catAx>
        <c:axId val="1673489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3694944"/>
        <c:crosses val="autoZero"/>
        <c:auto val="1"/>
        <c:lblAlgn val="ctr"/>
        <c:lblOffset val="100"/>
        <c:noMultiLvlLbl val="0"/>
      </c:catAx>
      <c:spPr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4622F5-4BF5-1A40-BE19-DD32DF4B467F}">
  <sheetPr/>
  <sheetViews>
    <sheetView zoomScale="1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55F143-4CDB-1D44-8BA3-0C91A54C1A29}">
  <sheetPr/>
  <sheetViews>
    <sheetView zoomScale="16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82765"/>
    <xdr:graphicFrame macro="">
      <xdr:nvGraphicFramePr>
        <xdr:cNvPr id="2" name="Chart 1" descr="The pie chart shows percentage of downloads by genre for April 2024.">
          <a:extLst>
            <a:ext uri="{FF2B5EF4-FFF2-40B4-BE49-F238E27FC236}">
              <a16:creationId xmlns:a16="http://schemas.microsoft.com/office/drawing/2014/main" id="{9D0AB38A-7A5C-676F-BCDA-4BC7D7F294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3625" cy="6294438"/>
    <xdr:graphicFrame macro="">
      <xdr:nvGraphicFramePr>
        <xdr:cNvPr id="2" name="Chart 1" descr="The stacked bar chart shows downloads by each week for each genre.">
          <a:extLst>
            <a:ext uri="{FF2B5EF4-FFF2-40B4-BE49-F238E27FC236}">
              <a16:creationId xmlns:a16="http://schemas.microsoft.com/office/drawing/2014/main" id="{46214292-F296-169D-4A20-A426A24061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0</xdr:colOff>
      <xdr:row>28</xdr:row>
      <xdr:rowOff>84667</xdr:rowOff>
    </xdr:to>
    <xdr:graphicFrame macro="">
      <xdr:nvGraphicFramePr>
        <xdr:cNvPr id="6" name="Chart 5" descr="The combo chart shows the number and percentage of downloads.">
          <a:extLst>
            <a:ext uri="{FF2B5EF4-FFF2-40B4-BE49-F238E27FC236}">
              <a16:creationId xmlns:a16="http://schemas.microsoft.com/office/drawing/2014/main" id="{CE6FD606-AA17-BD4D-AE58-CF38FC886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50" zoomScaleNormal="150" workbookViewId="0">
      <selection activeCell="H5" sqref="H5"/>
    </sheetView>
  </sheetViews>
  <sheetFormatPr baseColWidth="10" defaultColWidth="8.83203125" defaultRowHeight="15" x14ac:dyDescent="0.2"/>
  <cols>
    <col min="1" max="1" width="18.6640625" bestFit="1" customWidth="1"/>
  </cols>
  <sheetData>
    <row r="1" spans="1:8" ht="24" x14ac:dyDescent="0.3">
      <c r="A1" s="11" t="s">
        <v>0</v>
      </c>
      <c r="B1" s="11"/>
      <c r="C1" s="11"/>
      <c r="D1" s="11"/>
      <c r="E1" s="11"/>
      <c r="F1" s="11"/>
      <c r="G1" s="2"/>
    </row>
    <row r="2" spans="1:8" ht="19" x14ac:dyDescent="0.25">
      <c r="A2" s="12" t="s">
        <v>16</v>
      </c>
      <c r="B2" s="12"/>
      <c r="C2" s="12"/>
      <c r="D2" s="12"/>
      <c r="E2" s="12"/>
      <c r="F2" s="12"/>
      <c r="G2" s="1"/>
    </row>
    <row r="4" spans="1:8" ht="32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5" t="s">
        <v>15</v>
      </c>
      <c r="H4" s="4" t="s">
        <v>7</v>
      </c>
    </row>
    <row r="5" spans="1:8" x14ac:dyDescent="0.2">
      <c r="A5" s="3" t="s">
        <v>8</v>
      </c>
      <c r="B5" s="6">
        <v>2105</v>
      </c>
      <c r="C5" s="6">
        <v>1985</v>
      </c>
      <c r="D5" s="6">
        <v>2241</v>
      </c>
      <c r="E5" s="6">
        <v>2424</v>
      </c>
      <c r="F5" s="6">
        <f t="shared" ref="F5:F11" si="0">SUM(B5:E5)</f>
        <v>8755</v>
      </c>
      <c r="G5" s="10">
        <f>F5/F$11</f>
        <v>0.2337846137413549</v>
      </c>
    </row>
    <row r="6" spans="1:8" x14ac:dyDescent="0.2">
      <c r="A6" s="3" t="s">
        <v>9</v>
      </c>
      <c r="B6" s="6">
        <v>1800</v>
      </c>
      <c r="C6" s="6">
        <v>1805</v>
      </c>
      <c r="D6" s="6">
        <v>2045</v>
      </c>
      <c r="E6" s="6">
        <v>1945</v>
      </c>
      <c r="F6" s="6">
        <f t="shared" si="0"/>
        <v>7595</v>
      </c>
      <c r="G6" s="10">
        <f t="shared" ref="G6:G11" si="1">F6/F$11</f>
        <v>0.20280915378247749</v>
      </c>
    </row>
    <row r="7" spans="1:8" x14ac:dyDescent="0.2">
      <c r="A7" s="3" t="s">
        <v>10</v>
      </c>
      <c r="B7" s="6">
        <v>1645</v>
      </c>
      <c r="C7" s="6">
        <v>1503</v>
      </c>
      <c r="D7" s="6">
        <v>1475</v>
      </c>
      <c r="E7" s="6">
        <v>1304</v>
      </c>
      <c r="F7" s="6">
        <f t="shared" si="0"/>
        <v>5927</v>
      </c>
      <c r="G7" s="10">
        <f t="shared" si="1"/>
        <v>0.15826857860022964</v>
      </c>
    </row>
    <row r="8" spans="1:8" x14ac:dyDescent="0.2">
      <c r="A8" s="3" t="s">
        <v>11</v>
      </c>
      <c r="B8" s="6">
        <v>1206</v>
      </c>
      <c r="C8" s="6">
        <v>1121</v>
      </c>
      <c r="D8" s="6">
        <v>945</v>
      </c>
      <c r="E8" s="6">
        <v>917</v>
      </c>
      <c r="F8" s="6">
        <f t="shared" si="0"/>
        <v>4189</v>
      </c>
      <c r="G8" s="10">
        <f t="shared" si="1"/>
        <v>0.11185879462735987</v>
      </c>
    </row>
    <row r="9" spans="1:8" x14ac:dyDescent="0.2">
      <c r="A9" s="3" t="s">
        <v>12</v>
      </c>
      <c r="B9" s="6">
        <v>1795</v>
      </c>
      <c r="C9" s="6">
        <v>1845</v>
      </c>
      <c r="D9" s="6">
        <v>1765</v>
      </c>
      <c r="E9" s="6">
        <v>1695</v>
      </c>
      <c r="F9" s="6">
        <f t="shared" si="0"/>
        <v>7100</v>
      </c>
      <c r="G9" s="10">
        <f t="shared" si="1"/>
        <v>0.18959117733450825</v>
      </c>
    </row>
    <row r="10" spans="1:8" ht="18" x14ac:dyDescent="0.35">
      <c r="A10" s="3" t="s">
        <v>14</v>
      </c>
      <c r="B10" s="7">
        <v>1001</v>
      </c>
      <c r="C10" s="7">
        <v>945</v>
      </c>
      <c r="D10" s="7">
        <v>948</v>
      </c>
      <c r="E10" s="7">
        <v>989</v>
      </c>
      <c r="F10" s="7">
        <f t="shared" si="0"/>
        <v>3883</v>
      </c>
      <c r="G10" s="10">
        <f t="shared" si="1"/>
        <v>0.1036876819140698</v>
      </c>
    </row>
    <row r="11" spans="1:8" ht="18" x14ac:dyDescent="0.35">
      <c r="A11" s="8" t="s">
        <v>13</v>
      </c>
      <c r="B11" s="9">
        <f>SUM(B5:B10)</f>
        <v>9552</v>
      </c>
      <c r="C11" s="9">
        <f>SUM(C5:C10)</f>
        <v>9204</v>
      </c>
      <c r="D11" s="9">
        <f>SUM(D5:D10)</f>
        <v>9419</v>
      </c>
      <c r="E11" s="9">
        <f>SUM(E5:E10)</f>
        <v>9274</v>
      </c>
      <c r="F11" s="9">
        <f t="shared" si="0"/>
        <v>37449</v>
      </c>
      <c r="G11" s="10">
        <f t="shared" si="1"/>
        <v>1</v>
      </c>
    </row>
  </sheetData>
  <mergeCells count="2">
    <mergeCell ref="A1:F1"/>
    <mergeCell ref="A2:F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4987AD46-6350-BD4E-80A5-123F7E487B89}">
          <x14:colorSeries rgb="FF000000"/>
          <x14:colorNegative rgb="FF0070C0"/>
          <x14:colorAxis rgb="FF000000"/>
          <x14:colorMarkers rgb="FFFF0000"/>
          <x14:colorFirst rgb="FF0070C0"/>
          <x14:colorLast rgb="FF0070C0"/>
          <x14:colorHigh rgb="FFFF0000"/>
          <x14:colorLow rgb="FF0070C0"/>
          <x14:sparklines>
            <x14:sparkline>
              <xm:f>Data!B5:E5</xm:f>
              <xm:sqref>H5</xm:sqref>
            </x14:sparkline>
            <x14:sparkline>
              <xm:f>Data!B6:E6</xm:f>
              <xm:sqref>H6</xm:sqref>
            </x14:sparkline>
            <x14:sparkline>
              <xm:f>Data!B7:E7</xm:f>
              <xm:sqref>H7</xm:sqref>
            </x14:sparkline>
            <x14:sparkline>
              <xm:f>Data!B8:E8</xm:f>
              <xm:sqref>H8</xm:sqref>
            </x14:sparkline>
            <x14:sparkline>
              <xm:f>Data!B9:E9</xm:f>
              <xm:sqref>H9</xm:sqref>
            </x14:sparkline>
            <x14:sparkline>
              <xm:f>Data!B10:E10</xm:f>
              <xm:sqref>H10</xm:sqref>
            </x14:sparkline>
            <x14:sparkline>
              <xm:f>Data!B11:E11</xm:f>
              <xm:sqref>H11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b+7P+UOTn+9ojpvdoVMpHrytDzBTne+eL7gq8MTubaAvvGntdHt3bWoQSK+b6y84F8FK8ifDa+Bujgfog6jyUe6n6Rd75R3E-~xBZSOFGwByz2AwcI9D3sZQ==#@#12297402#@#4/5/2021 11:46:44 PM</id>
</project>
</file>

<file path=customXml/itemProps1.xml><?xml version="1.0" encoding="utf-8"?>
<ds:datastoreItem xmlns:ds="http://schemas.openxmlformats.org/officeDocument/2006/customXml" ds:itemID="{DE28B52D-E551-9947-ACA3-8E985427F1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April Pie Chart</vt:lpstr>
      <vt:lpstr>Weekly Downloads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Mulbery</dc:creator>
  <cp:lastModifiedBy>Norbert Shema</cp:lastModifiedBy>
  <dcterms:created xsi:type="dcterms:W3CDTF">2016-07-07T22:08:06Z</dcterms:created>
  <dcterms:modified xsi:type="dcterms:W3CDTF">2025-09-26T00:41:19Z</dcterms:modified>
</cp:coreProperties>
</file>